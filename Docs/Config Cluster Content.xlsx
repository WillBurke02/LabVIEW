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S\27604 Tank 6 LabVIEW\TimetTankSixRepo\TimetTankSix\Docs\"/>
    </mc:Choice>
  </mc:AlternateContent>
  <xr:revisionPtr revIDLastSave="0" documentId="13_ncr:1_{8A0D55CC-2EB9-48DE-A19F-345BA63C6D16}" xr6:coauthVersionLast="47" xr6:coauthVersionMax="47" xr10:uidLastSave="{00000000-0000-0000-0000-000000000000}"/>
  <bookViews>
    <workbookView xWindow="-120" yWindow="-120" windowWidth="29040" windowHeight="15720" xr2:uid="{0FC373FD-C30C-4C2D-82DC-C88446B99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haredStrings.xml><?xml version="1.0" encoding="utf-8"?>
<sst xmlns="http://schemas.openxmlformats.org/spreadsheetml/2006/main" count="158" uniqueCount="101">
  <si>
    <t>CH A Interface</t>
  </si>
  <si>
    <t>Start</t>
  </si>
  <si>
    <t>Length</t>
  </si>
  <si>
    <t>Threshold</t>
  </si>
  <si>
    <t>Gain</t>
  </si>
  <si>
    <t>CH B Interface</t>
  </si>
  <si>
    <t>Alignment Check</t>
  </si>
  <si>
    <t>Speed</t>
  </si>
  <si>
    <t>Resolution</t>
  </si>
  <si>
    <t>Bar Rotate</t>
  </si>
  <si>
    <t>Numeric</t>
  </si>
  <si>
    <t>String</t>
  </si>
  <si>
    <t>Bool</t>
  </si>
  <si>
    <t>Batch Number</t>
  </si>
  <si>
    <t>Bar ID</t>
  </si>
  <si>
    <t>Information and Setup</t>
  </si>
  <si>
    <t>Selected Beam X</t>
  </si>
  <si>
    <t>Enabled CHs</t>
  </si>
  <si>
    <t>Scan Data Rate</t>
  </si>
  <si>
    <t>Scan Resolution</t>
  </si>
  <si>
    <t>Scan Speed (deg/s)</t>
  </si>
  <si>
    <t>Scan RPM</t>
  </si>
  <si>
    <t>Pulses per rev</t>
  </si>
  <si>
    <t>Bar Alloy</t>
  </si>
  <si>
    <t>Process Order</t>
  </si>
  <si>
    <t>Class</t>
  </si>
  <si>
    <t>Billet Length (mm)</t>
  </si>
  <si>
    <t>Billet Diameter (mm)</t>
  </si>
  <si>
    <t>Route</t>
  </si>
  <si>
    <t>Standard ID</t>
  </si>
  <si>
    <t>End At Start</t>
  </si>
  <si>
    <t xml:space="preserve">Customer </t>
  </si>
  <si>
    <t>UT Specification</t>
  </si>
  <si>
    <t>UT Internal Procedure</t>
  </si>
  <si>
    <t>Operator</t>
  </si>
  <si>
    <t>UT Level</t>
  </si>
  <si>
    <t>Date (maybe not in config)</t>
  </si>
  <si>
    <t>Inspection Index (dB)</t>
  </si>
  <si>
    <t>Scanname</t>
  </si>
  <si>
    <t>Misc</t>
  </si>
  <si>
    <t>Use calculated diameter</t>
  </si>
  <si>
    <t>Overscan Steps (%)</t>
  </si>
  <si>
    <t>Rotation Speed</t>
  </si>
  <si>
    <t>2D Array</t>
  </si>
  <si>
    <t>Transducer Information</t>
  </si>
  <si>
    <t>Zones 1-6</t>
  </si>
  <si>
    <t>Enabled</t>
  </si>
  <si>
    <t>Serial Number</t>
  </si>
  <si>
    <t>Focal Length (mm)</t>
  </si>
  <si>
    <t>Beam X</t>
  </si>
  <si>
    <t>Measured Beam X</t>
  </si>
  <si>
    <t>Frequency (Hz)</t>
  </si>
  <si>
    <t>Diameter (mm)</t>
  </si>
  <si>
    <t>Water Path (mm)</t>
  </si>
  <si>
    <t xml:space="preserve">Inspection Zone </t>
  </si>
  <si>
    <t>SNR (dB)</t>
  </si>
  <si>
    <t>Alarm Level</t>
  </si>
  <si>
    <t>Zone Properties</t>
  </si>
  <si>
    <t>Noise Level (%)</t>
  </si>
  <si>
    <t>Reject Level (%)</t>
  </si>
  <si>
    <t>Alarm Level (%)</t>
  </si>
  <si>
    <t>Attenuation (dB)</t>
  </si>
  <si>
    <t>Channel Setup</t>
  </si>
  <si>
    <t>A Scan Window</t>
  </si>
  <si>
    <t>Range</t>
  </si>
  <si>
    <t>Backwall Gate (mm)</t>
  </si>
  <si>
    <t>Flaw Gate (mm Ti)</t>
  </si>
  <si>
    <t>Water Path</t>
  </si>
  <si>
    <t>Gate Amp</t>
  </si>
  <si>
    <t>Gate TOF</t>
  </si>
  <si>
    <t>CH1 Interface</t>
  </si>
  <si>
    <t>Pulse Width (ns)</t>
  </si>
  <si>
    <t xml:space="preserve">Damping </t>
  </si>
  <si>
    <t xml:space="preserve">C-Scan Collection </t>
  </si>
  <si>
    <t>Flaw Gate Amp</t>
  </si>
  <si>
    <t>Flaw Gate TOF</t>
  </si>
  <si>
    <t>Backwall Gate Amp</t>
  </si>
  <si>
    <t>Backwall Gate TOF</t>
  </si>
  <si>
    <t>DAC</t>
  </si>
  <si>
    <t>So many things in channel setup what the fuckkkkkkkkkkkk</t>
  </si>
  <si>
    <t>Filter</t>
  </si>
  <si>
    <t>Misc?</t>
  </si>
  <si>
    <t>Rectification</t>
  </si>
  <si>
    <t>Velocity of Sound</t>
  </si>
  <si>
    <t>Micropulse</t>
  </si>
  <si>
    <t>Pulse Voltage</t>
  </si>
  <si>
    <t>PRF</t>
  </si>
  <si>
    <t>Clusters setup into:</t>
  </si>
  <si>
    <t>Cluster Config (Highest lvl)</t>
  </si>
  <si>
    <t>Channel setup</t>
  </si>
  <si>
    <t>Scan Setup</t>
  </si>
  <si>
    <t>Channel Interfaces</t>
  </si>
  <si>
    <t>Gates</t>
  </si>
  <si>
    <t>Settings</t>
  </si>
  <si>
    <t>Information</t>
  </si>
  <si>
    <t>Gates.ctl</t>
  </si>
  <si>
    <t>Channel Interfaces.ctl</t>
  </si>
  <si>
    <t>Micropulse.ctl</t>
  </si>
  <si>
    <t>Scan Information.ctl</t>
  </si>
  <si>
    <t>Scan Settings.ctl</t>
  </si>
  <si>
    <t xml:space="preserve"> 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</si>
</sst>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 Display"/>
      <family val="2"/>
      <scheme val="major"/>
    </font>
    <font>
      <sz val="11"/>
      <color theme="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0" fillId="5" borderId="0" xfId="0" applyFill="1"/>
    <xf numFmtId="0" fontId="0" fillId="0" borderId="4" xfId="0" applyBorder="1"/>
    <xf numFmtId="0" fontId="0" fillId="0" borderId="5" xfId="0" applyBorder="1"/>
    <xf numFmtId="0" fontId="0" fillId="4" borderId="5" xfId="0" applyFill="1" applyBorder="1"/>
    <xf numFmtId="0" fontId="0" fillId="2" borderId="5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0" fillId="2" borderId="8" xfId="0" applyFill="1" applyBorder="1"/>
    <xf numFmtId="0" fontId="0" fillId="2" borderId="4" xfId="0" applyFill="1" applyBorder="1"/>
    <xf numFmtId="0" fontId="3" fillId="2" borderId="0" xfId="0" applyFont="1" applyFill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4" xfId="0" applyFont="1" applyBorder="1"/>
    <xf numFmtId="0" fontId="5" fillId="0" borderId="0" xfId="0" applyFont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0918-875F-437B-9346-4E43B47D65DA}">
  <dimension ref="A1:S37"/>
  <sheetViews>
    <sheetView tabSelected="1" workbookViewId="0">
      <selection activeCell="V16" sqref="V16"/>
    </sheetView>
  </sheetViews>
  <sheetFormatPr defaultRowHeight="15" x14ac:dyDescent="0.25"/>
  <cols>
    <col min="1" max="1" width="8.5703125" bestFit="1" customWidth="1"/>
    <col min="2" max="2" width="2.7109375" customWidth="1"/>
    <col min="3" max="3" width="13.7109375" bestFit="1" customWidth="1"/>
    <col min="4" max="4" width="6.7109375" bestFit="1" customWidth="1"/>
    <col min="5" max="5" width="10" bestFit="1" customWidth="1"/>
    <col min="6" max="6" width="10.42578125" bestFit="1" customWidth="1"/>
    <col min="7" max="7" width="20.42578125" bestFit="1" customWidth="1"/>
    <col min="8" max="8" width="2.5703125" customWidth="1"/>
    <col min="10" max="10" width="24.42578125" bestFit="1" customWidth="1"/>
    <col min="11" max="11" width="5.140625" bestFit="1" customWidth="1"/>
    <col min="12" max="12" width="22.7109375" bestFit="1" customWidth="1"/>
    <col min="13" max="13" width="2.7109375" customWidth="1"/>
    <col min="14" max="14" width="12.7109375" customWidth="1"/>
    <col min="15" max="15" width="17.5703125" bestFit="1" customWidth="1"/>
    <col min="16" max="16" width="1.5703125" customWidth="1"/>
    <col min="17" max="17" width="19" bestFit="1" customWidth="1"/>
    <col min="18" max="18" width="10.5703125" bestFit="1" customWidth="1"/>
  </cols>
  <sheetData>
    <row r="1" spans="1:19" x14ac:dyDescent="0.25">
      <c r="A1" s="1" t="s">
        <v>10</v>
      </c>
      <c r="B1">
        <f>COUNTA(C4,D4,E4,F4,C6,E6,D6,F6,C8,D8,E8,F8,J5:J11,L6:L9,J14,J17:J18,O9:O17,O23:O26,Q22,R19:R21,R12:R17,R8:R10,R5:R6,R34,R36:R37)</f>
        <v>57</v>
      </c>
    </row>
    <row r="2" spans="1:19" x14ac:dyDescent="0.25">
      <c r="A2" s="2" t="s">
        <v>11</v>
      </c>
      <c r="B2">
        <f>COUNTA(C10:C11,J13,J16,J19:J20,J22:J30,O8,R32:R33)</f>
        <v>18</v>
      </c>
    </row>
    <row r="3" spans="1:19" ht="15.75" x14ac:dyDescent="0.25">
      <c r="A3" s="3" t="s">
        <v>12</v>
      </c>
      <c r="B3">
        <f>COUNTA(G8,L5,R25:R28)</f>
        <v>6</v>
      </c>
      <c r="C3" s="25" t="s">
        <v>0</v>
      </c>
      <c r="D3" s="26"/>
      <c r="E3" s="26"/>
      <c r="F3" s="27"/>
      <c r="I3" s="23" t="s">
        <v>15</v>
      </c>
      <c r="J3" s="34"/>
      <c r="K3" s="34"/>
      <c r="L3" s="24"/>
      <c r="N3" s="21" t="s">
        <v>44</v>
      </c>
      <c r="O3" s="22"/>
      <c r="Q3" s="23" t="s">
        <v>62</v>
      </c>
      <c r="R3" s="24"/>
    </row>
    <row r="4" spans="1:19" x14ac:dyDescent="0.25">
      <c r="A4" s="5" t="s">
        <v>43</v>
      </c>
      <c r="C4" s="16" t="s">
        <v>1</v>
      </c>
      <c r="D4" s="1" t="s">
        <v>2</v>
      </c>
      <c r="E4" s="17" t="s">
        <v>3</v>
      </c>
      <c r="F4" s="9" t="s">
        <v>4</v>
      </c>
      <c r="G4" s="37" t="s">
        <v>96</v>
      </c>
      <c r="I4" s="35" t="s">
        <v>99</v>
      </c>
      <c r="K4" t="s">
        <v>39</v>
      </c>
      <c r="L4" s="7"/>
      <c r="N4" s="6">
        <v>1</v>
      </c>
      <c r="O4" s="7"/>
      <c r="Q4" s="6" t="s">
        <v>63</v>
      </c>
      <c r="R4" s="7"/>
    </row>
    <row r="5" spans="1:19" ht="15.75" x14ac:dyDescent="0.25">
      <c r="C5" s="28" t="s">
        <v>5</v>
      </c>
      <c r="D5" s="29"/>
      <c r="E5" s="29"/>
      <c r="F5" s="30"/>
      <c r="G5" s="36"/>
      <c r="I5" s="35" t="s">
        <v>100</v>
      </c>
      <c r="J5" s="1" t="s">
        <v>16</v>
      </c>
      <c r="L5" s="8" t="s">
        <v>40</v>
      </c>
      <c r="N5" s="6"/>
      <c r="O5" s="8" t="s">
        <v>45</v>
      </c>
      <c r="Q5" s="6"/>
      <c r="R5" s="9" t="s">
        <v>1</v>
      </c>
    </row>
    <row r="6" spans="1:19" x14ac:dyDescent="0.25">
      <c r="C6" s="16" t="s">
        <v>1</v>
      </c>
      <c r="D6" s="1" t="s">
        <v>2</v>
      </c>
      <c r="E6" s="17" t="s">
        <v>3</v>
      </c>
      <c r="F6" s="9" t="s">
        <v>4</v>
      </c>
      <c r="G6" s="37" t="s">
        <v>96</v>
      </c>
      <c r="I6" s="35" t="s">
        <v>100</v>
      </c>
      <c r="J6" s="1" t="s">
        <v>17</v>
      </c>
      <c r="L6" s="9" t="s">
        <v>41</v>
      </c>
      <c r="N6" s="6">
        <v>2</v>
      </c>
      <c r="O6" s="7"/>
      <c r="Q6" s="6"/>
      <c r="R6" s="9" t="s">
        <v>64</v>
      </c>
    </row>
    <row r="7" spans="1:19" ht="15.75" x14ac:dyDescent="0.25">
      <c r="C7" s="31" t="s">
        <v>6</v>
      </c>
      <c r="D7" s="32"/>
      <c r="E7" s="32"/>
      <c r="F7" s="32"/>
      <c r="G7" s="33"/>
      <c r="I7" s="35" t="s">
        <v>100</v>
      </c>
      <c r="J7" s="1" t="s">
        <v>18</v>
      </c>
      <c r="L7" s="9" t="s">
        <v>18</v>
      </c>
      <c r="N7" s="6"/>
      <c r="O7" s="8" t="s">
        <v>46</v>
      </c>
      <c r="Q7" s="6" t="s">
        <v>65</v>
      </c>
      <c r="R7" s="7"/>
    </row>
    <row r="8" spans="1:19" x14ac:dyDescent="0.25">
      <c r="C8" s="18" t="s">
        <v>1</v>
      </c>
      <c r="D8" s="19" t="s">
        <v>2</v>
      </c>
      <c r="E8" s="19" t="s">
        <v>7</v>
      </c>
      <c r="F8" s="19" t="s">
        <v>8</v>
      </c>
      <c r="G8" s="20" t="s">
        <v>9</v>
      </c>
      <c r="I8" s="35" t="s">
        <v>100</v>
      </c>
      <c r="J8" s="1" t="s">
        <v>19</v>
      </c>
      <c r="L8" s="9" t="s">
        <v>42</v>
      </c>
      <c r="N8" s="6"/>
      <c r="O8" s="14" t="s">
        <v>47</v>
      </c>
      <c r="Q8" s="6"/>
      <c r="R8" s="9" t="s">
        <v>1</v>
      </c>
      <c r="S8" s="36" t="s">
        <v>95</v>
      </c>
    </row>
    <row r="9" spans="1:19" x14ac:dyDescent="0.25">
      <c r="I9" s="35" t="s">
        <v>100</v>
      </c>
      <c r="J9" s="1" t="s">
        <v>20</v>
      </c>
      <c r="L9" s="9" t="s">
        <v>20</v>
      </c>
      <c r="N9" s="6"/>
      <c r="O9" s="9" t="s">
        <v>48</v>
      </c>
      <c r="Q9" s="6"/>
      <c r="R9" s="9" t="s">
        <v>2</v>
      </c>
      <c r="S9" s="36" t="s">
        <v>95</v>
      </c>
    </row>
    <row r="10" spans="1:19" x14ac:dyDescent="0.25">
      <c r="C10" s="4" t="s">
        <v>13</v>
      </c>
      <c r="I10" s="35" t="s">
        <v>100</v>
      </c>
      <c r="J10" s="1" t="s">
        <v>21</v>
      </c>
      <c r="L10" s="7"/>
      <c r="N10" s="6"/>
      <c r="O10" s="9" t="s">
        <v>49</v>
      </c>
      <c r="Q10" s="6"/>
      <c r="R10" s="9" t="s">
        <v>3</v>
      </c>
      <c r="S10" s="36" t="s">
        <v>95</v>
      </c>
    </row>
    <row r="11" spans="1:19" x14ac:dyDescent="0.25">
      <c r="C11" s="4" t="s">
        <v>14</v>
      </c>
      <c r="I11" s="35" t="s">
        <v>100</v>
      </c>
      <c r="J11" s="1" t="s">
        <v>22</v>
      </c>
      <c r="L11" s="7"/>
      <c r="N11" s="6"/>
      <c r="O11" s="9" t="s">
        <v>50</v>
      </c>
      <c r="Q11" s="6" t="s">
        <v>66</v>
      </c>
      <c r="R11" s="7"/>
      <c r="S11" s="36"/>
    </row>
    <row r="12" spans="1:19" x14ac:dyDescent="0.25">
      <c r="I12" s="35" t="s">
        <v>98</v>
      </c>
      <c r="L12" s="7"/>
      <c r="N12" s="6"/>
      <c r="O12" s="9" t="s">
        <v>51</v>
      </c>
      <c r="Q12" s="6"/>
      <c r="R12" s="9" t="s">
        <v>1</v>
      </c>
      <c r="S12" s="36" t="s">
        <v>95</v>
      </c>
    </row>
    <row r="13" spans="1:19" x14ac:dyDescent="0.25">
      <c r="I13" s="35" t="s">
        <v>100</v>
      </c>
      <c r="J13" s="2" t="s">
        <v>23</v>
      </c>
      <c r="L13" s="7"/>
      <c r="N13" s="6"/>
      <c r="O13" s="9" t="s">
        <v>52</v>
      </c>
      <c r="Q13" s="6"/>
      <c r="R13" s="9" t="s">
        <v>2</v>
      </c>
      <c r="S13" s="36" t="s">
        <v>95</v>
      </c>
    </row>
    <row r="14" spans="1:19" x14ac:dyDescent="0.25">
      <c r="C14" t="s">
        <v>87</v>
      </c>
      <c r="I14" s="35" t="s">
        <v>100</v>
      </c>
      <c r="J14" s="1" t="s">
        <v>24</v>
      </c>
      <c r="L14" s="7"/>
      <c r="N14" s="6"/>
      <c r="O14" s="9" t="s">
        <v>53</v>
      </c>
      <c r="Q14" s="6"/>
      <c r="R14" s="9" t="s">
        <v>3</v>
      </c>
      <c r="S14" s="36" t="s">
        <v>95</v>
      </c>
    </row>
    <row r="15" spans="1:19" x14ac:dyDescent="0.25">
      <c r="C15" t="s">
        <v>88</v>
      </c>
      <c r="I15" s="35" t="s">
        <v>100</v>
      </c>
      <c r="J15" s="4" t="s">
        <v>13</v>
      </c>
      <c r="L15" s="7"/>
      <c r="N15" s="6"/>
      <c r="O15" s="9" t="s">
        <v>54</v>
      </c>
      <c r="Q15" s="6"/>
      <c r="R15" s="9" t="s">
        <v>67</v>
      </c>
      <c r="S15" s="36" t="s">
        <v>95</v>
      </c>
    </row>
    <row r="16" spans="1:19" x14ac:dyDescent="0.25">
      <c r="D16" t="s">
        <v>89</v>
      </c>
      <c r="I16" s="35" t="s">
        <v>100</v>
      </c>
      <c r="J16" s="2" t="s">
        <v>25</v>
      </c>
      <c r="L16" s="7"/>
      <c r="N16" s="6"/>
      <c r="O16" s="9" t="s">
        <v>55</v>
      </c>
      <c r="Q16" s="6"/>
      <c r="R16" s="9" t="s">
        <v>68</v>
      </c>
      <c r="S16" s="36" t="s">
        <v>95</v>
      </c>
    </row>
    <row r="17" spans="4:19" x14ac:dyDescent="0.25">
      <c r="E17" t="s">
        <v>91</v>
      </c>
      <c r="I17" s="35" t="s">
        <v>100</v>
      </c>
      <c r="J17" s="1" t="s">
        <v>27</v>
      </c>
      <c r="L17" s="7"/>
      <c r="N17" s="10"/>
      <c r="O17" s="15" t="s">
        <v>56</v>
      </c>
      <c r="Q17" s="6"/>
      <c r="R17" s="9" t="s">
        <v>69</v>
      </c>
      <c r="S17" s="36" t="s">
        <v>95</v>
      </c>
    </row>
    <row r="18" spans="4:19" x14ac:dyDescent="0.25">
      <c r="E18" t="s">
        <v>92</v>
      </c>
      <c r="I18" s="35" t="s">
        <v>100</v>
      </c>
      <c r="J18" s="1" t="s">
        <v>26</v>
      </c>
      <c r="L18" s="7"/>
      <c r="Q18" s="6" t="s">
        <v>70</v>
      </c>
      <c r="R18" s="7"/>
    </row>
    <row r="19" spans="4:19" x14ac:dyDescent="0.25">
      <c r="E19" t="s">
        <v>78</v>
      </c>
      <c r="I19" s="35" t="s">
        <v>100</v>
      </c>
      <c r="J19" s="2" t="s">
        <v>28</v>
      </c>
      <c r="L19" s="7"/>
      <c r="N19" s="21" t="s">
        <v>57</v>
      </c>
      <c r="O19" s="22"/>
      <c r="Q19" s="6"/>
      <c r="R19" s="9" t="s">
        <v>1</v>
      </c>
    </row>
    <row r="20" spans="4:19" x14ac:dyDescent="0.25">
      <c r="E20" t="s">
        <v>84</v>
      </c>
      <c r="I20" s="35" t="s">
        <v>100</v>
      </c>
      <c r="J20" s="2" t="s">
        <v>29</v>
      </c>
      <c r="L20" s="7"/>
      <c r="N20" s="6">
        <v>1</v>
      </c>
      <c r="O20" s="7"/>
      <c r="Q20" s="6"/>
      <c r="R20" s="9" t="s">
        <v>2</v>
      </c>
    </row>
    <row r="21" spans="4:19" x14ac:dyDescent="0.25">
      <c r="D21" t="s">
        <v>90</v>
      </c>
      <c r="I21" s="35" t="s">
        <v>100</v>
      </c>
      <c r="J21" s="4" t="s">
        <v>14</v>
      </c>
      <c r="L21" s="7"/>
      <c r="N21" s="6"/>
      <c r="O21" s="8" t="s">
        <v>45</v>
      </c>
      <c r="Q21" s="6"/>
      <c r="R21" s="9" t="s">
        <v>3</v>
      </c>
    </row>
    <row r="22" spans="4:19" x14ac:dyDescent="0.25">
      <c r="E22" t="s">
        <v>93</v>
      </c>
      <c r="I22" s="35" t="s">
        <v>100</v>
      </c>
      <c r="J22" s="2" t="s">
        <v>30</v>
      </c>
      <c r="L22" s="7"/>
      <c r="N22" s="6">
        <v>2</v>
      </c>
      <c r="O22" s="7"/>
      <c r="Q22" s="16" t="s">
        <v>71</v>
      </c>
      <c r="R22" s="7"/>
    </row>
    <row r="23" spans="4:19" x14ac:dyDescent="0.25">
      <c r="E23" t="s">
        <v>94</v>
      </c>
      <c r="I23" s="35" t="s">
        <v>100</v>
      </c>
      <c r="J23" s="2" t="s">
        <v>31</v>
      </c>
      <c r="L23" s="7"/>
      <c r="N23" s="6"/>
      <c r="O23" s="9" t="s">
        <v>58</v>
      </c>
      <c r="Q23" s="6" t="s">
        <v>72</v>
      </c>
      <c r="R23" s="7"/>
    </row>
    <row r="24" spans="4:19" x14ac:dyDescent="0.25">
      <c r="I24" s="35" t="s">
        <v>100</v>
      </c>
      <c r="J24" s="2" t="s">
        <v>32</v>
      </c>
      <c r="L24" s="7"/>
      <c r="N24" s="6"/>
      <c r="O24" s="9" t="s">
        <v>59</v>
      </c>
      <c r="Q24" s="6" t="s">
        <v>73</v>
      </c>
      <c r="R24" s="7"/>
    </row>
    <row r="25" spans="4:19" x14ac:dyDescent="0.25">
      <c r="I25" s="35" t="s">
        <v>100</v>
      </c>
      <c r="J25" s="2" t="s">
        <v>33</v>
      </c>
      <c r="L25" s="7"/>
      <c r="N25" s="6"/>
      <c r="O25" s="9" t="s">
        <v>60</v>
      </c>
      <c r="Q25" s="6"/>
      <c r="R25" s="8" t="s">
        <v>74</v>
      </c>
    </row>
    <row r="26" spans="4:19" x14ac:dyDescent="0.25">
      <c r="I26" s="35" t="s">
        <v>100</v>
      </c>
      <c r="J26" s="2" t="s">
        <v>34</v>
      </c>
      <c r="L26" s="7"/>
      <c r="N26" s="10"/>
      <c r="O26" s="15" t="s">
        <v>61</v>
      </c>
      <c r="Q26" s="6"/>
      <c r="R26" s="8" t="s">
        <v>75</v>
      </c>
    </row>
    <row r="27" spans="4:19" x14ac:dyDescent="0.25">
      <c r="I27" s="35" t="s">
        <v>100</v>
      </c>
      <c r="J27" s="2" t="s">
        <v>35</v>
      </c>
      <c r="L27" s="7"/>
      <c r="Q27" s="6"/>
      <c r="R27" s="8" t="s">
        <v>76</v>
      </c>
    </row>
    <row r="28" spans="4:19" x14ac:dyDescent="0.25">
      <c r="I28" s="35" t="s">
        <v>100</v>
      </c>
      <c r="J28" s="2" t="s">
        <v>36</v>
      </c>
      <c r="L28" s="7"/>
      <c r="Q28" s="6"/>
      <c r="R28" s="8" t="s">
        <v>77</v>
      </c>
    </row>
    <row r="29" spans="4:19" x14ac:dyDescent="0.25">
      <c r="I29" s="35" t="s">
        <v>100</v>
      </c>
      <c r="J29" s="2" t="s">
        <v>37</v>
      </c>
      <c r="L29" s="7"/>
      <c r="Q29" s="6" t="s">
        <v>78</v>
      </c>
      <c r="R29" s="7"/>
    </row>
    <row r="30" spans="4:19" x14ac:dyDescent="0.25">
      <c r="I30" s="35" t="s">
        <v>100</v>
      </c>
      <c r="J30" s="11" t="s">
        <v>38</v>
      </c>
      <c r="K30" s="12"/>
      <c r="L30" s="13"/>
      <c r="Q30" s="6"/>
      <c r="R30" s="7" t="s">
        <v>79</v>
      </c>
    </row>
    <row r="31" spans="4:19" x14ac:dyDescent="0.25">
      <c r="Q31" s="6" t="s">
        <v>81</v>
      </c>
      <c r="R31" s="7"/>
    </row>
    <row r="32" spans="4:19" x14ac:dyDescent="0.25">
      <c r="Q32" s="6"/>
      <c r="R32" s="14" t="s">
        <v>80</v>
      </c>
    </row>
    <row r="33" spans="17:19" x14ac:dyDescent="0.25">
      <c r="Q33" s="6"/>
      <c r="R33" s="14" t="s">
        <v>82</v>
      </c>
    </row>
    <row r="34" spans="17:19" x14ac:dyDescent="0.25">
      <c r="Q34" s="6"/>
      <c r="R34" s="9" t="s">
        <v>83</v>
      </c>
    </row>
    <row r="35" spans="17:19" x14ac:dyDescent="0.25">
      <c r="Q35" s="6" t="s">
        <v>84</v>
      </c>
      <c r="R35" s="7"/>
    </row>
    <row r="36" spans="17:19" x14ac:dyDescent="0.25">
      <c r="Q36" s="6"/>
      <c r="R36" s="9" t="s">
        <v>85</v>
      </c>
      <c r="S36" s="36" t="s">
        <v>97</v>
      </c>
    </row>
    <row r="37" spans="17:19" x14ac:dyDescent="0.25">
      <c r="Q37" s="10"/>
      <c r="R37" s="15" t="s">
        <v>86</v>
      </c>
      <c r="S37" s="36" t="s">
        <v>97</v>
      </c>
    </row>
  </sheetData>
  <mergeCells count="7">
    <mergeCell ref="N19:O19"/>
    <mergeCell ref="Q3:R3"/>
    <mergeCell ref="C3:F3"/>
    <mergeCell ref="C5:F5"/>
    <mergeCell ref="C7:G7"/>
    <mergeCell ref="N3:O3"/>
    <mergeCell ref="I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Burke</dc:creator>
  <cp:lastModifiedBy>Will Burke</cp:lastModifiedBy>
  <dcterms:created xsi:type="dcterms:W3CDTF">2026-07-21T13:47:45Z</dcterms:created>
  <dcterms:modified xsi:type="dcterms:W3CDTF">2026-07-24T11:08:11Z</dcterms:modified>
</cp:coreProperties>
</file>